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App's\Beams\"/>
    </mc:Choice>
  </mc:AlternateContent>
  <xr:revisionPtr revIDLastSave="0" documentId="13_ncr:1_{2CAC18DE-4976-4D6B-A1B9-2E65C5A153C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Inventor" sheetId="1" r:id="rId1"/>
    <sheet name="Inputs" sheetId="2" r:id="rId2"/>
    <sheet name="RESULTADOS" sheetId="3" r:id="rId3"/>
    <sheet name="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<sst xmlns="http://schemas.openxmlformats.org/spreadsheetml/2006/main" count="197" uniqueCount="136">
  <si>
    <t>parametro</t>
  </si>
  <si>
    <t>valor</t>
  </si>
  <si>
    <t>unit</t>
  </si>
  <si>
    <t>comments</t>
  </si>
  <si>
    <t>lenght</t>
  </si>
  <si>
    <t>mm</t>
  </si>
  <si>
    <t>diameter</t>
  </si>
  <si>
    <t>diametro d</t>
  </si>
  <si>
    <t>PyBeams  —  Entrada de Datos del Problema</t>
  </si>
  <si>
    <t>Parametros globales de la viga</t>
  </si>
  <si>
    <t>Variable</t>
  </si>
  <si>
    <t>Valor</t>
  </si>
  <si>
    <t>Unidad</t>
  </si>
  <si>
    <t>Descripcion</t>
  </si>
  <si>
    <t>l</t>
  </si>
  <si>
    <t>m</t>
  </si>
  <si>
    <t>Longitud total de la viga</t>
  </si>
  <si>
    <t>Sy</t>
  </si>
  <si>
    <t>MPa</t>
  </si>
  <si>
    <t>Esfuerzo de fluencia (ASTM A572)</t>
  </si>
  <si>
    <t>FS</t>
  </si>
  <si>
    <t>---</t>
  </si>
  <si>
    <t>Factor de Seguridad</t>
  </si>
  <si>
    <t>Apoyos  (agregar/quitar filas segun necesidad)</t>
  </si>
  <si>
    <t>Tipos validos:  Fixed  |  Pinned  |  Roller</t>
  </si>
  <si>
    <t>ID</t>
  </si>
  <si>
    <t>Ubicacion [m]</t>
  </si>
  <si>
    <t>Tipo de apoyo</t>
  </si>
  <si>
    <t>A</t>
  </si>
  <si>
    <t>Fixed</t>
  </si>
  <si>
    <t>← agregar mas filas copiando el formato</t>
  </si>
  <si>
    <t>B</t>
  </si>
  <si>
    <t>Roller</t>
  </si>
  <si>
    <t>Cargas aplicadas  (agregar/quitar filas segun necesidad)</t>
  </si>
  <si>
    <t>Tipos validos:  Point load  |  Uniformly distributed  |  Triangular distributed 1  |  Triangular distributed 2  |  Moment load</t>
  </si>
  <si>
    <t>a [m]</t>
  </si>
  <si>
    <t>a1 [m]</t>
  </si>
  <si>
    <t>Tipo de carga</t>
  </si>
  <si>
    <t>Fa</t>
  </si>
  <si>
    <t>Uniformly distributed</t>
  </si>
  <si>
    <t>kN/m</t>
  </si>
  <si>
    <t>Ejecucion del analisis</t>
  </si>
  <si>
    <t>1. Complete las tablas de apoyos y cargas.   2. Presione el boton Run (pestana Programador &gt; Macros &gt; RunPyBeams)   3. Los resultados aparecen en la hoja 'Resultados'.</t>
  </si>
  <si>
    <t>Estado:</t>
  </si>
  <si>
    <t>En espera</t>
  </si>
  <si>
    <t>PyBeams  —  Resultados del Analisis Estructural</t>
  </si>
  <si>
    <t>Generado: 30/06/2026  19:46:43</t>
  </si>
  <si>
    <t>1.  Parametros de entrada</t>
  </si>
  <si>
    <t>Parametro</t>
  </si>
  <si>
    <t>Longitud de la viga (l)</t>
  </si>
  <si>
    <t>12.000</t>
  </si>
  <si>
    <t>Esfuerzo de fluencia (Sy)</t>
  </si>
  <si>
    <t>344.0</t>
  </si>
  <si>
    <t>Factor de Seguridad (FS)</t>
  </si>
  <si>
    <t>2.00</t>
  </si>
  <si>
    <t>Esfuerzo admisible (sigma_adm)</t>
  </si>
  <si>
    <t>172.00</t>
  </si>
  <si>
    <t>2.  Configuracion de apoyos</t>
  </si>
  <si>
    <t>Tipo</t>
  </si>
  <si>
    <t>Restricciones</t>
  </si>
  <si>
    <t>0.000</t>
  </si>
  <si>
    <t>2 reacciones (Fy, M)</t>
  </si>
  <si>
    <t>17.000</t>
  </si>
  <si>
    <t>1 reaccion (Fy)</t>
  </si>
  <si>
    <t>3.  Cargas aplicadas</t>
  </si>
  <si>
    <t>Magnitud</t>
  </si>
  <si>
    <t>-90.000</t>
  </si>
  <si>
    <t>5.000</t>
  </si>
  <si>
    <t>4.  Reacciones en los apoyos</t>
  </si>
  <si>
    <t>Reaccion</t>
  </si>
  <si>
    <t>Posicion [m]</t>
  </si>
  <si>
    <t>Sentido</t>
  </si>
  <si>
    <t>Ay</t>
  </si>
  <si>
    <t>259.2755</t>
  </si>
  <si>
    <t>kN</t>
  </si>
  <si>
    <t>positivo</t>
  </si>
  <si>
    <t>MA</t>
  </si>
  <si>
    <t>-947.3162</t>
  </si>
  <si>
    <t>kN.m</t>
  </si>
  <si>
    <t>negativo</t>
  </si>
  <si>
    <t>By</t>
  </si>
  <si>
    <t>370.7245</t>
  </si>
  <si>
    <t>5.  Verificacion de equilibrio</t>
  </si>
  <si>
    <t>Elemento</t>
  </si>
  <si>
    <t>Fy [kN]</t>
  </si>
  <si>
    <t>M_O [kN.m]</t>
  </si>
  <si>
    <t>Fa dist.unif.</t>
  </si>
  <si>
    <t>-630.0000</t>
  </si>
  <si>
    <t>-5355.0000</t>
  </si>
  <si>
    <t>R_Ay</t>
  </si>
  <si>
    <t>0.0000</t>
  </si>
  <si>
    <t>M_MA</t>
  </si>
  <si>
    <t>R_By</t>
  </si>
  <si>
    <t>6302.3162</t>
  </si>
  <si>
    <t>Sum Fy [kN]</t>
  </si>
  <si>
    <t>Sum M_O [kN.m]</t>
  </si>
  <si>
    <t>OK</t>
  </si>
  <si>
    <t>6.  Valores criticos</t>
  </si>
  <si>
    <t>Momento flector maximo  |M|_max</t>
  </si>
  <si>
    <t>947.3162</t>
  </si>
  <si>
    <t>Modulo de seccion requerido  s</t>
  </si>
  <si>
    <t>5507.65</t>
  </si>
  <si>
    <t>cm3</t>
  </si>
  <si>
    <t>7.  Diagrama de cuerpo libre</t>
  </si>
  <si>
    <t>[Imagen DCL no encontrada]</t>
  </si>
  <si>
    <t>8.  Diagramas de Fuerza Cortante y Momento Flector</t>
  </si>
  <si>
    <t>[Imagen V-M no encontrada]</t>
  </si>
  <si>
    <t>Timestamp</t>
  </si>
  <si>
    <t>Estado</t>
  </si>
  <si>
    <t>Mensaje</t>
  </si>
  <si>
    <t>Tiempo (s)</t>
  </si>
  <si>
    <t>El historial de ejecuciones aparece aqui.</t>
  </si>
  <si>
    <t>27/06/2026 21:59:28</t>
  </si>
  <si>
    <t>l=17.0m | Mmax=2432.80 kN.m | s=14144.2 cm3</t>
  </si>
  <si>
    <t>1.2</t>
  </si>
  <si>
    <t>27/06/2026 21:54:12</t>
  </si>
  <si>
    <t>ERROR</t>
  </si>
  <si>
    <t>Error in 'Fa': End position 'a1' (17.0) is outside the beam limits [0, 12.0].</t>
  </si>
  <si>
    <t>0.1</t>
  </si>
  <si>
    <t>27/06/2026 22:01:11</t>
  </si>
  <si>
    <t>27/06/2026 22:02:28</t>
  </si>
  <si>
    <t>l=12.0m | Mmax=947.32 kN.m | s=5507.7 cm3</t>
  </si>
  <si>
    <t>1.5</t>
  </si>
  <si>
    <t>28/06/2026 07:54:28</t>
  </si>
  <si>
    <t>write_results() missing 2 required positional arguments: 'img_vm' and 'img_dcl'</t>
  </si>
  <si>
    <t>0.0</t>
  </si>
  <si>
    <t>28/06/2026 07:56:15</t>
  </si>
  <si>
    <t>l=1m | Mmax=0.02 kN.m | s=0.1 cm3</t>
  </si>
  <si>
    <t>28/06/2026 08:01:30</t>
  </si>
  <si>
    <t>l=12m | Mmax=2.40 kN.m | s=10.5 cm3</t>
  </si>
  <si>
    <t>28/06/2026 08:25:01</t>
  </si>
  <si>
    <t>l=12m | Mmax=1080.00 kN.m | s=4709.3 cm3</t>
  </si>
  <si>
    <t>28/06/2026 08:35:20</t>
  </si>
  <si>
    <t>29/06/2026 14:22:38</t>
  </si>
  <si>
    <t>30/06/2026 19:46:43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</si>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</sst>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color rgb="FF2C2C2A"/>
      <name val="Arial"/>
    </font>
    <font>
      <b/>
      <sz val="10"/>
      <color rgb="FF0000FF"/>
      <name val="Arial"/>
    </font>
    <font>
      <sz val="10"/>
      <color rgb="FF2C2C2A"/>
      <name val="Arial"/>
    </font>
    <font>
      <i/>
      <sz val="9"/>
      <color rgb="FF5F5E5A"/>
      <name val="Arial"/>
    </font>
    <font>
      <sz val="10"/>
      <color rgb="FF5F5E5A"/>
      <name val="Arial"/>
    </font>
    <font>
      <i/>
      <sz val="10"/>
      <color rgb="FF2C2C2A"/>
      <name val="Arial"/>
    </font>
    <font>
      <b/>
      <sz val="10"/>
      <color rgb="FFBA7517"/>
      <name val="Arial"/>
    </font>
    <font>
      <b/>
      <sz val="10"/>
      <color rgb="FF1A7A3A"/>
      <name val="Arial"/>
    </font>
    <font>
      <b/>
      <sz val="10"/>
      <color rgb="FF0000FF"/>
      <name val="Arial"/>
      <family val="2"/>
    </font>
    <font>
      <b/>
      <sz val="10"/>
      <color rgb="FFB22222"/>
      <name val="Arial"/>
    </font>
    <font>
      <b/>
      <sz val="10"/>
      <color rgb="FF1A7A3A"/>
      <name val="Courier New"/>
    </font>
    <font>
      <u/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888780"/>
      <name val="Arial"/>
    </font>
    <font>
      <b/>
      <sz val="11"/>
      <color rgb="FFFFFFFF"/>
      <name val="Arial"/>
    </font>
    <font>
      <i/>
      <sz val="11"/>
      <color rgb="FFB22222"/>
      <name val="Arial"/>
    </font>
  </fonts>
  <fills count="6">
    <fill>
      <patternFill patternType="none"/>
    </fill>
    <fill>
      <patternFill patternType="gray125"/>
    </fill>
    <fill>
      <patternFill patternType="solid">
        <fgColor rgb="FF2E5B8A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AEEDA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/>
    </xf>
    <xf numFmtId="0" fontId="12" fillId="4" borderId="4" xfId="0" applyFont="1" applyFill="1" applyBorder="1" applyAlignment="1">
      <alignment horizontal="center" vertical="center"/>
    </xf>
    <xf numFmtId="0" fontId="13" fillId="0" borderId="0" xfId="0" applyFont="1"/>
    <xf numFmtId="0" fontId="11" fillId="0" borderId="0" xfId="0" applyFont="1"/>
    <xf numFmtId="0" fontId="14" fillId="0" borderId="0" xfId="0" applyFont="1"/>
    <xf numFmtId="0" fontId="15" fillId="0" borderId="0" xfId="0" applyFont="1"/>
    <xf numFmtId="0" fontId="18" fillId="2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9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6" fillId="3" borderId="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0" fillId="5" borderId="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0" fillId="0" borderId="0" xfId="0"/>
    <xf numFmtId="0" fontId="16" fillId="2" borderId="0" xfId="0" applyFont="1" applyFill="1" applyAlignment="1">
      <alignment horizontal="center" vertical="center"/>
    </xf>
    <xf numFmtId="0" fontId="17" fillId="0" borderId="0" xfId="0" applyFont="1"/>
    <xf numFmtId="0" fontId="7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D14" sqref="D14:D15"/>
    </sheetView>
  </sheetViews>
  <sheetFormatPr baseColWidth="10" defaultRowHeight="15" x14ac:dyDescent="0.25"/>
  <cols>
    <col min="1" max="1" width="20" bestFit="1" customWidth="1"/>
    <col min="2" max="2" width="6.5703125" bestFit="1" customWidth="1"/>
    <col min="3" max="3" width="4.5703125" bestFit="1" customWidth="1"/>
    <col min="4" max="4" width="20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>
        <v>1000</v>
      </c>
      <c r="C2" t="s">
        <v>5</v>
      </c>
      <c r="D2" t="str">
        <f>RESULTADOS!B6</f>
        <v>Longitud de la viga (l)</v>
      </c>
    </row>
    <row r="3" spans="1:5" x14ac:dyDescent="0.25">
      <c r="A3" t="s">
        <v>6</v>
      </c>
      <c r="B3">
        <v>30</v>
      </c>
      <c r="C3" t="s">
        <v>5</v>
      </c>
      <c r="D3" t="s">
        <v>7</v>
      </c>
    </row>
    <row r="9" spans="1:5" x14ac:dyDescent="0.25">
      <c r="D9" s="16"/>
    </row>
    <row r="15" spans="1:5" x14ac:dyDescent="0.25">
      <c r="E15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B1:G22"/>
  <sheetViews>
    <sheetView workbookViewId="0">
      <pane xSplit="1" ySplit="3" topLeftCell="B4" activePane="bottomRight" state="frozen"/>
      <selection pane="topRight"/>
      <selection pane="bottomLeft"/>
      <selection pane="bottomRight" activeCell="H17" sqref="H17"/>
    </sheetView>
  </sheetViews>
  <sheetFormatPr baseColWidth="10" defaultColWidth="9.140625" defaultRowHeight="15" x14ac:dyDescent="0.25"/>
  <cols>
    <col min="1" max="1" width="54.42578125" customWidth="1"/>
    <col min="2" max="2" width="24" style="10" customWidth="1"/>
    <col min="3" max="5" width="16" style="10" customWidth="1"/>
    <col min="6" max="6" width="26" style="10" customWidth="1"/>
    <col min="7" max="7" width="14" style="10" customWidth="1"/>
  </cols>
  <sheetData>
    <row r="1" spans="2:7" ht="32.1" customHeight="1" x14ac:dyDescent="0.25">
      <c r="B1" s="30" t="s">
        <v>8</v>
      </c>
      <c r="C1" s="24"/>
      <c r="D1" s="24"/>
      <c r="E1" s="24"/>
      <c r="F1" s="24"/>
      <c r="G1" s="24"/>
    </row>
    <row r="2" spans="2:7" ht="8.1" customHeight="1" x14ac:dyDescent="0.25"/>
    <row r="3" spans="2:7" ht="21.95" customHeight="1" x14ac:dyDescent="0.25">
      <c r="B3" s="23" t="s">
        <v>9</v>
      </c>
      <c r="C3" s="24"/>
      <c r="D3" s="24"/>
      <c r="E3" s="24"/>
      <c r="F3" s="24"/>
      <c r="G3" s="24"/>
    </row>
    <row r="4" spans="2:7" ht="18" customHeight="1" x14ac:dyDescent="0.25">
      <c r="B4" s="1" t="s">
        <v>10</v>
      </c>
      <c r="C4" s="1" t="s">
        <v>11</v>
      </c>
      <c r="D4" s="1" t="s">
        <v>12</v>
      </c>
      <c r="E4" s="31" t="s">
        <v>13</v>
      </c>
      <c r="F4" s="32"/>
      <c r="G4" s="33"/>
    </row>
    <row r="5" spans="2:7" ht="15.95" customHeight="1" x14ac:dyDescent="0.25">
      <c r="B5" s="5" t="s">
        <v>14</v>
      </c>
      <c r="C5" s="2">
        <v>12</v>
      </c>
      <c r="D5" s="3" t="s">
        <v>15</v>
      </c>
      <c r="E5" s="29" t="s">
        <v>16</v>
      </c>
      <c r="F5" s="27"/>
      <c r="G5" s="28"/>
    </row>
    <row r="6" spans="2:7" ht="15.95" customHeight="1" x14ac:dyDescent="0.25">
      <c r="B6" s="6" t="s">
        <v>17</v>
      </c>
      <c r="C6" s="12">
        <v>344</v>
      </c>
      <c r="D6" s="4" t="s">
        <v>18</v>
      </c>
      <c r="E6" s="36" t="s">
        <v>19</v>
      </c>
      <c r="F6" s="27"/>
      <c r="G6" s="28"/>
    </row>
    <row r="7" spans="2:7" ht="15.95" customHeight="1" x14ac:dyDescent="0.25">
      <c r="B7" s="5" t="s">
        <v>20</v>
      </c>
      <c r="C7" s="2">
        <v>2</v>
      </c>
      <c r="D7" s="3" t="s">
        <v>21</v>
      </c>
      <c r="E7" s="29" t="s">
        <v>22</v>
      </c>
      <c r="F7" s="27"/>
      <c r="G7" s="28"/>
    </row>
    <row r="8" spans="2:7" ht="9.9499999999999993" customHeight="1" x14ac:dyDescent="0.25"/>
    <row r="9" spans="2:7" ht="21.95" customHeight="1" x14ac:dyDescent="0.25">
      <c r="B9" s="23" t="s">
        <v>23</v>
      </c>
      <c r="C9" s="24"/>
      <c r="D9" s="24"/>
      <c r="E9" s="24"/>
      <c r="F9" s="24"/>
      <c r="G9" s="24"/>
    </row>
    <row r="10" spans="2:7" ht="14.1" customHeight="1" x14ac:dyDescent="0.25">
      <c r="B10" s="25" t="s">
        <v>24</v>
      </c>
      <c r="C10" s="24"/>
      <c r="D10" s="24"/>
      <c r="E10" s="24"/>
      <c r="F10" s="24"/>
      <c r="G10" s="24"/>
    </row>
    <row r="11" spans="2:7" ht="18" customHeight="1" x14ac:dyDescent="0.25">
      <c r="B11" s="1" t="s">
        <v>25</v>
      </c>
      <c r="C11" s="1" t="s">
        <v>26</v>
      </c>
      <c r="D11" s="1" t="s">
        <v>27</v>
      </c>
      <c r="E11" s="24"/>
      <c r="F11" s="24"/>
      <c r="G11" s="24"/>
    </row>
    <row r="12" spans="2:7" ht="15.95" customHeight="1" x14ac:dyDescent="0.25">
      <c r="B12" s="5" t="s">
        <v>28</v>
      </c>
      <c r="C12" s="3">
        <v>0</v>
      </c>
      <c r="D12" s="3" t="s">
        <v>29</v>
      </c>
      <c r="E12" s="26" t="s">
        <v>30</v>
      </c>
      <c r="F12" s="27"/>
      <c r="G12" s="28"/>
    </row>
    <row r="13" spans="2:7" ht="15.95" customHeight="1" x14ac:dyDescent="0.25">
      <c r="B13" s="6" t="s">
        <v>31</v>
      </c>
      <c r="C13" s="4">
        <v>17</v>
      </c>
      <c r="D13" s="4" t="s">
        <v>32</v>
      </c>
      <c r="E13" s="26" t="s">
        <v>30</v>
      </c>
      <c r="F13" s="27"/>
      <c r="G13" s="28"/>
    </row>
    <row r="14" spans="2:7" ht="9.9499999999999993" customHeight="1" x14ac:dyDescent="0.25"/>
    <row r="15" spans="2:7" ht="21.95" customHeight="1" x14ac:dyDescent="0.25">
      <c r="B15" s="23" t="s">
        <v>33</v>
      </c>
      <c r="C15" s="24"/>
      <c r="D15" s="24"/>
      <c r="E15" s="24"/>
      <c r="F15" s="24"/>
      <c r="G15" s="24"/>
    </row>
    <row r="16" spans="2:7" ht="14.1" customHeight="1" x14ac:dyDescent="0.25">
      <c r="B16" s="25" t="s">
        <v>34</v>
      </c>
      <c r="C16" s="24"/>
      <c r="D16" s="24"/>
      <c r="E16" s="24"/>
      <c r="F16" s="24"/>
      <c r="G16" s="24"/>
    </row>
    <row r="17" spans="2:7" ht="18" customHeight="1" x14ac:dyDescent="0.25">
      <c r="B17" s="1" t="s">
        <v>25</v>
      </c>
      <c r="C17" s="1" t="s">
        <v>11</v>
      </c>
      <c r="D17" s="1" t="s">
        <v>35</v>
      </c>
      <c r="E17" s="1" t="s">
        <v>36</v>
      </c>
      <c r="F17" s="1" t="s">
        <v>37</v>
      </c>
      <c r="G17" s="1" t="s">
        <v>12</v>
      </c>
    </row>
    <row r="18" spans="2:7" ht="15.95" customHeight="1" x14ac:dyDescent="0.25">
      <c r="B18" s="5" t="s">
        <v>38</v>
      </c>
      <c r="C18" s="2">
        <v>-90</v>
      </c>
      <c r="D18" s="3">
        <v>5</v>
      </c>
      <c r="E18" s="3">
        <v>12</v>
      </c>
      <c r="F18" s="3" t="s">
        <v>39</v>
      </c>
      <c r="G18" s="7" t="s">
        <v>40</v>
      </c>
    </row>
    <row r="19" spans="2:7" ht="9.9499999999999993" customHeight="1" x14ac:dyDescent="0.25"/>
    <row r="20" spans="2:7" ht="21.95" customHeight="1" x14ac:dyDescent="0.25">
      <c r="B20" s="23" t="s">
        <v>41</v>
      </c>
      <c r="C20" s="24"/>
      <c r="D20" s="24"/>
      <c r="E20" s="24"/>
      <c r="F20" s="24"/>
      <c r="G20" s="24"/>
    </row>
    <row r="21" spans="2:7" ht="32.1" customHeight="1" x14ac:dyDescent="0.25">
      <c r="B21" s="35" t="s">
        <v>42</v>
      </c>
      <c r="C21" s="24"/>
      <c r="D21" s="24"/>
      <c r="E21" s="24"/>
      <c r="F21" s="24"/>
      <c r="G21" s="24"/>
    </row>
    <row r="22" spans="2:7" ht="20.100000000000001" customHeight="1" x14ac:dyDescent="0.25">
      <c r="B22" s="8" t="s">
        <v>43</v>
      </c>
      <c r="C22" s="34" t="s">
        <v>44</v>
      </c>
      <c r="D22" s="33"/>
    </row>
  </sheetData>
  <mergeCells count="16">
    <mergeCell ref="B1:G1"/>
    <mergeCell ref="E12:G12"/>
    <mergeCell ref="E4:G4"/>
    <mergeCell ref="C22:D22"/>
    <mergeCell ref="B21:G21"/>
    <mergeCell ref="E7:G7"/>
    <mergeCell ref="B15:G15"/>
    <mergeCell ref="E6:G6"/>
    <mergeCell ref="B3:G3"/>
    <mergeCell ref="B16:G16"/>
    <mergeCell ref="B20:G20"/>
    <mergeCell ref="B10:G10"/>
    <mergeCell ref="E13:G13"/>
    <mergeCell ref="E11:G11"/>
    <mergeCell ref="E5:G5"/>
    <mergeCell ref="B9:G9"/>
  </mergeCells>
  <dataValidations count="2">
    <dataValidation type="list" sqref="D12 D13" xr:uid="{00000000-0002-0000-0100-000000000000}">
      <formula1>"Fixed,Pinned,Roller"</formula1>
    </dataValidation>
    <dataValidation type="list" sqref="F18" xr:uid="{00000000-0002-0000-0100-000001000000}">
      <formula1>"Point load,Uniformly distributed,Triangular distributed 1,Triangular distributed 2,Moment load"</formula1>
    </dataValidation>
  </dataValidation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8" width="14" customWidth="1"/>
  </cols>
  <sheetData>
    <row r="1" spans="1:8" ht="30" customHeight="1" x14ac:dyDescent="0.25">
      <c r="A1" s="42"/>
      <c r="B1" s="39" t="s">
        <v>45</v>
      </c>
      <c r="C1" s="38"/>
      <c r="D1" s="38"/>
      <c r="E1" s="38"/>
      <c r="F1" s="38"/>
      <c r="G1" s="38"/>
      <c r="H1" s="38"/>
    </row>
    <row r="2" spans="1:8" x14ac:dyDescent="0.25">
      <c r="B2" s="40" t="s">
        <v>46</v>
      </c>
      <c r="C2" s="38"/>
      <c r="D2" s="38"/>
      <c r="E2" s="38"/>
      <c r="F2" s="38"/>
      <c r="G2" s="38"/>
      <c r="H2" s="38"/>
    </row>
    <row r="4" spans="1:8" ht="21.95" customHeight="1" x14ac:dyDescent="0.25">
      <c r="B4" s="37" t="s">
        <v>47</v>
      </c>
      <c r="C4" s="38"/>
      <c r="D4" s="38"/>
      <c r="E4" s="38"/>
      <c r="F4" s="38"/>
      <c r="G4" s="38"/>
      <c r="H4" s="38"/>
    </row>
    <row r="5" spans="1:8" ht="18" customHeight="1" x14ac:dyDescent="0.25">
      <c r="B5" s="17" t="s">
        <v>48</v>
      </c>
      <c r="C5" s="17" t="s">
        <v>11</v>
      </c>
      <c r="D5" s="17" t="s">
        <v>12</v>
      </c>
    </row>
    <row r="6" spans="1:8" ht="15.95" customHeight="1" x14ac:dyDescent="0.25">
      <c r="B6" s="18" t="s">
        <v>49</v>
      </c>
      <c r="C6" s="18" t="s">
        <v>50</v>
      </c>
      <c r="D6" s="18" t="s">
        <v>15</v>
      </c>
    </row>
    <row r="7" spans="1:8" ht="15.95" customHeight="1" x14ac:dyDescent="0.25">
      <c r="B7" s="19" t="s">
        <v>51</v>
      </c>
      <c r="C7" s="19" t="s">
        <v>52</v>
      </c>
      <c r="D7" s="19" t="s">
        <v>18</v>
      </c>
    </row>
    <row r="8" spans="1:8" ht="15.95" customHeight="1" x14ac:dyDescent="0.25">
      <c r="B8" s="18" t="s">
        <v>53</v>
      </c>
      <c r="C8" s="18" t="s">
        <v>54</v>
      </c>
      <c r="D8" s="18" t="s">
        <v>21</v>
      </c>
    </row>
    <row r="9" spans="1:8" ht="15.95" customHeight="1" x14ac:dyDescent="0.25">
      <c r="B9" s="19" t="s">
        <v>55</v>
      </c>
      <c r="C9" s="19" t="s">
        <v>56</v>
      </c>
      <c r="D9" s="19" t="s">
        <v>18</v>
      </c>
    </row>
    <row r="11" spans="1:8" ht="21.95" customHeight="1" x14ac:dyDescent="0.25">
      <c r="B11" s="37" t="s">
        <v>57</v>
      </c>
      <c r="C11" s="38"/>
      <c r="D11" s="38"/>
      <c r="E11" s="38"/>
      <c r="F11" s="38"/>
      <c r="G11" s="38"/>
      <c r="H11" s="38"/>
    </row>
    <row r="12" spans="1:8" ht="18" customHeight="1" x14ac:dyDescent="0.25">
      <c r="B12" s="17" t="s">
        <v>25</v>
      </c>
      <c r="C12" s="17" t="s">
        <v>26</v>
      </c>
      <c r="D12" s="17" t="s">
        <v>58</v>
      </c>
      <c r="E12" s="17" t="s">
        <v>59</v>
      </c>
    </row>
    <row r="13" spans="1:8" ht="15.95" customHeight="1" x14ac:dyDescent="0.25">
      <c r="B13" s="18" t="s">
        <v>28</v>
      </c>
      <c r="C13" s="18" t="s">
        <v>60</v>
      </c>
      <c r="D13" s="18" t="s">
        <v>29</v>
      </c>
      <c r="E13" s="18" t="s">
        <v>61</v>
      </c>
    </row>
    <row r="14" spans="1:8" ht="15.95" customHeight="1" x14ac:dyDescent="0.25">
      <c r="B14" s="19" t="s">
        <v>31</v>
      </c>
      <c r="C14" s="19" t="s">
        <v>62</v>
      </c>
      <c r="D14" s="19" t="s">
        <v>32</v>
      </c>
      <c r="E14" s="19" t="s">
        <v>63</v>
      </c>
    </row>
    <row r="16" spans="1:8" ht="21.95" customHeight="1" x14ac:dyDescent="0.25">
      <c r="B16" s="37" t="s">
        <v>64</v>
      </c>
      <c r="C16" s="38"/>
      <c r="D16" s="38"/>
      <c r="E16" s="38"/>
      <c r="F16" s="38"/>
      <c r="G16" s="38"/>
      <c r="H16" s="38"/>
    </row>
    <row r="17" spans="2:8" ht="18" customHeight="1" x14ac:dyDescent="0.25">
      <c r="B17" s="17" t="s">
        <v>25</v>
      </c>
      <c r="C17" s="17" t="s">
        <v>65</v>
      </c>
      <c r="D17" s="17" t="s">
        <v>35</v>
      </c>
      <c r="E17" s="17" t="s">
        <v>36</v>
      </c>
      <c r="F17" s="17" t="s">
        <v>58</v>
      </c>
      <c r="G17" s="17" t="s">
        <v>12</v>
      </c>
    </row>
    <row r="18" spans="2:8" ht="15.95" customHeight="1" x14ac:dyDescent="0.25">
      <c r="B18" s="18" t="s">
        <v>38</v>
      </c>
      <c r="C18" s="18" t="s">
        <v>66</v>
      </c>
      <c r="D18" s="18" t="s">
        <v>67</v>
      </c>
      <c r="E18" s="18" t="s">
        <v>50</v>
      </c>
      <c r="F18" s="18" t="s">
        <v>39</v>
      </c>
      <c r="G18" s="18" t="s">
        <v>40</v>
      </c>
    </row>
    <row r="20" spans="2:8" ht="21.95" customHeight="1" x14ac:dyDescent="0.25">
      <c r="B20" s="37" t="s">
        <v>68</v>
      </c>
      <c r="C20" s="38"/>
      <c r="D20" s="38"/>
      <c r="E20" s="38"/>
      <c r="F20" s="38"/>
      <c r="G20" s="38"/>
      <c r="H20" s="38"/>
    </row>
    <row r="21" spans="2:8" ht="18" customHeight="1" x14ac:dyDescent="0.25">
      <c r="B21" s="17" t="s">
        <v>69</v>
      </c>
      <c r="C21" s="17" t="s">
        <v>70</v>
      </c>
      <c r="D21" s="17" t="s">
        <v>11</v>
      </c>
      <c r="E21" s="17" t="s">
        <v>12</v>
      </c>
      <c r="F21" s="17" t="s">
        <v>71</v>
      </c>
    </row>
    <row r="22" spans="2:8" ht="15.95" customHeight="1" x14ac:dyDescent="0.25">
      <c r="B22" s="18" t="s">
        <v>72</v>
      </c>
      <c r="C22" s="18" t="s">
        <v>60</v>
      </c>
      <c r="D22" s="18" t="s">
        <v>73</v>
      </c>
      <c r="E22" s="18" t="s">
        <v>74</v>
      </c>
      <c r="F22" s="18" t="s">
        <v>75</v>
      </c>
    </row>
    <row r="23" spans="2:8" ht="15.95" customHeight="1" x14ac:dyDescent="0.25">
      <c r="B23" s="19" t="s">
        <v>76</v>
      </c>
      <c r="C23" s="19" t="s">
        <v>60</v>
      </c>
      <c r="D23" s="19" t="s">
        <v>77</v>
      </c>
      <c r="E23" s="19" t="s">
        <v>78</v>
      </c>
      <c r="F23" s="19" t="s">
        <v>79</v>
      </c>
    </row>
    <row r="24" spans="2:8" ht="15.95" customHeight="1" x14ac:dyDescent="0.25">
      <c r="B24" s="18" t="s">
        <v>80</v>
      </c>
      <c r="C24" s="18" t="s">
        <v>62</v>
      </c>
      <c r="D24" s="18" t="s">
        <v>81</v>
      </c>
      <c r="E24" s="18" t="s">
        <v>74</v>
      </c>
      <c r="F24" s="18" t="s">
        <v>75</v>
      </c>
    </row>
    <row r="26" spans="2:8" ht="21.95" customHeight="1" x14ac:dyDescent="0.25">
      <c r="B26" s="37" t="s">
        <v>82</v>
      </c>
      <c r="C26" s="38"/>
      <c r="D26" s="38"/>
      <c r="E26" s="38"/>
      <c r="F26" s="38"/>
      <c r="G26" s="38"/>
      <c r="H26" s="38"/>
    </row>
    <row r="27" spans="2:8" ht="18" customHeight="1" x14ac:dyDescent="0.25">
      <c r="B27" s="17" t="s">
        <v>83</v>
      </c>
      <c r="C27" s="17" t="s">
        <v>84</v>
      </c>
      <c r="D27" s="17" t="s">
        <v>85</v>
      </c>
    </row>
    <row r="28" spans="2:8" ht="15.95" customHeight="1" x14ac:dyDescent="0.25">
      <c r="B28" s="18" t="s">
        <v>86</v>
      </c>
      <c r="C28" s="18" t="s">
        <v>87</v>
      </c>
      <c r="D28" s="18" t="s">
        <v>88</v>
      </c>
    </row>
    <row r="29" spans="2:8" ht="15.95" customHeight="1" x14ac:dyDescent="0.25">
      <c r="B29" s="19" t="s">
        <v>89</v>
      </c>
      <c r="C29" s="19" t="s">
        <v>73</v>
      </c>
      <c r="D29" s="19" t="s">
        <v>90</v>
      </c>
    </row>
    <row r="30" spans="2:8" ht="15.95" customHeight="1" x14ac:dyDescent="0.25">
      <c r="B30" s="18" t="s">
        <v>91</v>
      </c>
      <c r="C30" s="18" t="s">
        <v>90</v>
      </c>
      <c r="D30" s="18" t="s">
        <v>77</v>
      </c>
    </row>
    <row r="31" spans="2:8" ht="15.95" customHeight="1" x14ac:dyDescent="0.25">
      <c r="B31" s="19" t="s">
        <v>92</v>
      </c>
      <c r="C31" s="19" t="s">
        <v>81</v>
      </c>
      <c r="D31" s="19" t="s">
        <v>93</v>
      </c>
    </row>
    <row r="32" spans="2:8" ht="18" customHeight="1" x14ac:dyDescent="0.25">
      <c r="B32" s="8" t="s">
        <v>94</v>
      </c>
      <c r="C32" s="20">
        <v>0</v>
      </c>
      <c r="D32" s="8" t="s">
        <v>95</v>
      </c>
      <c r="E32" s="20">
        <v>0</v>
      </c>
      <c r="F32" s="21" t="s">
        <v>96</v>
      </c>
    </row>
    <row r="34" spans="2:8" ht="21.95" customHeight="1" x14ac:dyDescent="0.25">
      <c r="B34" s="37" t="s">
        <v>97</v>
      </c>
      <c r="C34" s="38"/>
      <c r="D34" s="38"/>
      <c r="E34" s="38"/>
      <c r="F34" s="38"/>
      <c r="G34" s="38"/>
      <c r="H34" s="38"/>
    </row>
    <row r="35" spans="2:8" ht="18" customHeight="1" x14ac:dyDescent="0.25">
      <c r="B35" s="17" t="s">
        <v>65</v>
      </c>
      <c r="C35" s="17" t="s">
        <v>11</v>
      </c>
      <c r="D35" s="17" t="s">
        <v>12</v>
      </c>
    </row>
    <row r="36" spans="2:8" ht="15.95" customHeight="1" x14ac:dyDescent="0.25">
      <c r="B36" s="18" t="s">
        <v>98</v>
      </c>
      <c r="C36" s="18" t="s">
        <v>99</v>
      </c>
      <c r="D36" s="18" t="s">
        <v>78</v>
      </c>
    </row>
    <row r="37" spans="2:8" ht="15.95" customHeight="1" x14ac:dyDescent="0.25">
      <c r="B37" s="19" t="s">
        <v>100</v>
      </c>
      <c r="C37" s="19" t="s">
        <v>101</v>
      </c>
      <c r="D37" s="19" t="s">
        <v>102</v>
      </c>
    </row>
    <row r="40" spans="2:8" ht="21.95" customHeight="1" x14ac:dyDescent="0.25">
      <c r="B40" s="37" t="s">
        <v>103</v>
      </c>
      <c r="C40" s="38"/>
      <c r="D40" s="38"/>
      <c r="E40" s="38"/>
      <c r="F40" s="38"/>
      <c r="G40" s="38"/>
      <c r="H40" s="38"/>
    </row>
    <row r="41" spans="2:8" x14ac:dyDescent="0.25">
      <c r="B41" s="22" t="s">
        <v>104</v>
      </c>
    </row>
    <row r="43" spans="2:8" ht="21.95" customHeight="1" x14ac:dyDescent="0.25">
      <c r="B43" s="37" t="s">
        <v>105</v>
      </c>
      <c r="C43" s="38"/>
      <c r="D43" s="38"/>
      <c r="E43" s="38"/>
      <c r="F43" s="38"/>
      <c r="G43" s="38"/>
      <c r="H43" s="38"/>
    </row>
    <row r="44" spans="2:8" x14ac:dyDescent="0.25">
      <c r="B44" s="22" t="s">
        <v>106</v>
      </c>
    </row>
  </sheetData>
  <mergeCells count="10">
    <mergeCell ref="B26:H26"/>
    <mergeCell ref="B40:H40"/>
    <mergeCell ref="B1:H1"/>
    <mergeCell ref="B4:H4"/>
    <mergeCell ref="B43:H43"/>
    <mergeCell ref="B34:H34"/>
    <mergeCell ref="B16:H16"/>
    <mergeCell ref="B2:H2"/>
    <mergeCell ref="B11:H11"/>
    <mergeCell ref="B20:H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D13"/>
  <sheetViews>
    <sheetView workbookViewId="0">
      <pane ySplit="1" topLeftCell="A2" activePane="bottomLeft" state="frozen"/>
      <selection pane="bottomLeft" activeCell="C10" sqref="C10"/>
    </sheetView>
  </sheetViews>
  <sheetFormatPr baseColWidth="10" defaultColWidth="9.140625" defaultRowHeight="15" x14ac:dyDescent="0.25"/>
  <cols>
    <col min="1" max="1" width="20" customWidth="1"/>
    <col min="2" max="2" width="12" customWidth="1"/>
    <col min="3" max="3" width="72.28515625" bestFit="1" customWidth="1"/>
    <col min="4" max="4" width="14" customWidth="1"/>
  </cols>
  <sheetData>
    <row r="1" spans="1:4" ht="18" customHeight="1" x14ac:dyDescent="0.25">
      <c r="A1" s="1" t="s">
        <v>107</v>
      </c>
      <c r="B1" s="1" t="s">
        <v>108</v>
      </c>
      <c r="C1" s="1" t="s">
        <v>109</v>
      </c>
      <c r="D1" s="1" t="s">
        <v>110</v>
      </c>
    </row>
    <row r="2" spans="1:4" x14ac:dyDescent="0.25">
      <c r="A2" s="41" t="s">
        <v>111</v>
      </c>
      <c r="B2" s="38"/>
      <c r="C2" s="38"/>
      <c r="D2" s="38"/>
    </row>
    <row r="3" spans="1:4" ht="15.95" customHeight="1" x14ac:dyDescent="0.25">
      <c r="A3" s="9" t="s">
        <v>112</v>
      </c>
      <c r="B3" s="11" t="s">
        <v>96</v>
      </c>
      <c r="C3" s="9" t="s">
        <v>113</v>
      </c>
      <c r="D3" s="9" t="s">
        <v>114</v>
      </c>
    </row>
    <row r="4" spans="1:4" ht="15.95" customHeight="1" x14ac:dyDescent="0.25">
      <c r="A4" t="s">
        <v>115</v>
      </c>
      <c r="B4" s="13" t="s">
        <v>116</v>
      </c>
      <c r="C4" t="s">
        <v>117</v>
      </c>
      <c r="D4" t="s">
        <v>118</v>
      </c>
    </row>
    <row r="5" spans="1:4" ht="15.95" customHeight="1" x14ac:dyDescent="0.25">
      <c r="A5" t="s">
        <v>119</v>
      </c>
      <c r="B5" s="13" t="s">
        <v>116</v>
      </c>
      <c r="C5" t="s">
        <v>117</v>
      </c>
      <c r="D5" t="s">
        <v>118</v>
      </c>
    </row>
    <row r="6" spans="1:4" ht="15.95" customHeight="1" x14ac:dyDescent="0.25">
      <c r="A6" t="s">
        <v>120</v>
      </c>
      <c r="B6" s="14" t="s">
        <v>96</v>
      </c>
      <c r="C6" t="s">
        <v>121</v>
      </c>
      <c r="D6" t="s">
        <v>122</v>
      </c>
    </row>
    <row r="7" spans="1:4" ht="15.95" customHeight="1" x14ac:dyDescent="0.25">
      <c r="A7" t="s">
        <v>123</v>
      </c>
      <c r="B7" s="13" t="s">
        <v>116</v>
      </c>
      <c r="C7" t="s">
        <v>124</v>
      </c>
      <c r="D7" t="s">
        <v>125</v>
      </c>
    </row>
    <row r="8" spans="1:4" ht="15.95" customHeight="1" x14ac:dyDescent="0.25">
      <c r="A8" t="s">
        <v>126</v>
      </c>
      <c r="B8" s="14" t="s">
        <v>96</v>
      </c>
      <c r="C8" t="s">
        <v>127</v>
      </c>
      <c r="D8" t="s">
        <v>118</v>
      </c>
    </row>
    <row r="9" spans="1:4" ht="15.95" customHeight="1" x14ac:dyDescent="0.25">
      <c r="A9" t="s">
        <v>128</v>
      </c>
      <c r="B9" s="14" t="s">
        <v>96</v>
      </c>
      <c r="C9" t="s">
        <v>129</v>
      </c>
      <c r="D9" t="s">
        <v>118</v>
      </c>
    </row>
    <row r="10" spans="1:4" ht="15.95" customHeight="1" x14ac:dyDescent="0.25">
      <c r="A10" t="s">
        <v>130</v>
      </c>
      <c r="B10" s="14" t="s">
        <v>96</v>
      </c>
      <c r="C10" t="s">
        <v>131</v>
      </c>
      <c r="D10" t="s">
        <v>118</v>
      </c>
    </row>
    <row r="11" spans="1:4" ht="15.95" customHeight="1" x14ac:dyDescent="0.25">
      <c r="A11" t="s">
        <v>132</v>
      </c>
      <c r="B11" s="15" t="s">
        <v>96</v>
      </c>
      <c r="C11" t="s">
        <v>131</v>
      </c>
      <c r="D11" t="s">
        <v>118</v>
      </c>
    </row>
    <row r="12" spans="1:4" ht="15.95" customHeight="1" x14ac:dyDescent="0.25">
      <c r="A12" t="s">
        <v>133</v>
      </c>
      <c r="B12" s="15" t="s">
        <v>96</v>
      </c>
      <c r="C12" t="s">
        <v>131</v>
      </c>
      <c r="D12" t="s">
        <v>118</v>
      </c>
    </row>
    <row r="13" spans="1:4" ht="15.95" customHeight="1" x14ac:dyDescent="0.25">
      <c r="A13" t="s">
        <v>134</v>
      </c>
      <c r="B13" s="14" t="s">
        <v>96</v>
      </c>
      <c r="C13" t="s">
        <v>121</v>
      </c>
      <c r="D13" t="s">
        <v>135</v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Inventor</vt:lpstr>
      <vt:lpstr>Inputs</vt:lpstr>
      <vt:lpstr>RESULTADOS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Prieto</cp:lastModifiedBy>
  <dcterms:created xsi:type="dcterms:W3CDTF">2026-06-27T21:58:37Z</dcterms:created>
  <dcterms:modified xsi:type="dcterms:W3CDTF">2026-07-03T01:38:54Z</dcterms:modified>
</cp:coreProperties>
</file>